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Dane Power Bi\"/>
    </mc:Choice>
  </mc:AlternateContent>
  <xr:revisionPtr revIDLastSave="0" documentId="13_ncr:1_{B9D70585-642B-40C8-878C-91EB92CECCC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Arkusz1" sheetId="1" r:id="rId1"/>
  </sheets>
  <definedNames>
    <definedName name="Czas_pracy">Arkusz1!$P$3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1" l="1"/>
  <c r="D18" i="1"/>
  <c r="D17" i="1"/>
  <c r="D12" i="1"/>
  <c r="D11" i="1"/>
  <c r="D10" i="1"/>
  <c r="E10" i="1" s="1"/>
  <c r="D5" i="1"/>
  <c r="D4" i="1"/>
  <c r="E4" i="1" s="1"/>
  <c r="D3" i="1"/>
  <c r="E3" i="1" s="1"/>
  <c r="E18" i="1"/>
  <c r="E19" i="1"/>
  <c r="E17" i="1"/>
  <c r="E11" i="1"/>
  <c r="E12" i="1"/>
  <c r="E5" i="1"/>
</calcChain>
</file>

<file path=xl/sharedStrings.xml><?xml version="1.0" encoding="utf-8"?>
<sst xmlns="http://schemas.openxmlformats.org/spreadsheetml/2006/main" count="41" uniqueCount="19">
  <si>
    <t>ID maszyny</t>
  </si>
  <si>
    <t>M1</t>
  </si>
  <si>
    <t>M2</t>
  </si>
  <si>
    <t>M3</t>
  </si>
  <si>
    <t>Rodzaj wyrobu</t>
  </si>
  <si>
    <t>Ser żółty</t>
  </si>
  <si>
    <t>Jogurt naturalny</t>
  </si>
  <si>
    <t>Ser twarogowy</t>
  </si>
  <si>
    <t>Styczień</t>
  </si>
  <si>
    <t>Luty</t>
  </si>
  <si>
    <t>Marzec</t>
  </si>
  <si>
    <t>Kwiecień</t>
  </si>
  <si>
    <t>Maj</t>
  </si>
  <si>
    <t>Miesiąc</t>
  </si>
  <si>
    <t xml:space="preserve">Dni robocze </t>
  </si>
  <si>
    <t>Planowana produkcja</t>
  </si>
  <si>
    <t>Możliwości produkcyjne na 1h\l</t>
  </si>
  <si>
    <t>Czas_pracy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</si>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</sst>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C1891A-54CA-429F-A3F7-57A388C15689}" name="Planowana_produkcja_styczeń" displayName="Planowana_produkcja_styczeń" ref="A2:E5" totalsRowShown="0">
  <autoFilter ref="A2:E5" xr:uid="{32C1891A-54CA-429F-A3F7-57A388C15689}"/>
  <tableColumns count="5">
    <tableColumn id="1" xr3:uid="{D900DB5D-E8B8-4679-8DBB-35E239FA38A4}" name="Data"/>
    <tableColumn id="2" xr3:uid="{E757CBF1-EB37-40B7-8491-76B5DC4F0215}" name="ID maszyny"/>
    <tableColumn id="3" xr3:uid="{EC52AA7F-C70B-49B8-9587-E6E1FC98A69A}" name="Rodzaj wyrobu"/>
    <tableColumn id="4" xr3:uid="{67F7682C-86C8-49EA-B39C-81D032F537FC}" name="Możliwości produkcyjne na 1h\l"/>
    <tableColumn id="5" xr3:uid="{88871A3B-1865-4CE2-B3A4-FAA46767729D}" name="Planowana produkcj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11361B-5239-4172-B3BF-CBE0C594526C}" name="Dnirobocze" displayName="Dnirobocze" ref="L2:M7" totalsRowShown="0">
  <autoFilter ref="L2:M7" xr:uid="{7411361B-5239-4172-B3BF-CBE0C594526C}"/>
  <tableColumns count="2">
    <tableColumn id="1" xr3:uid="{8E588FC1-3DE5-4F5C-BA9C-F897656678B7}" name="Miesiąc"/>
    <tableColumn id="2" xr3:uid="{BF41FEFA-6A5A-4220-807A-E380E32BE13B}" name="Dni robocze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B27D6B-673C-423D-9B1C-B8D98E032F6C}" name="Planowana_produkcja_luty" displayName="Planowana_produkcja_luty" ref="A9:E12" totalsRowShown="0">
  <autoFilter ref="A9:E12" xr:uid="{BEB27D6B-673C-423D-9B1C-B8D98E032F6C}"/>
  <tableColumns count="5">
    <tableColumn id="1" xr3:uid="{FAB404EA-71CE-43BA-8BC4-36CF52CB0306}" name="Data"/>
    <tableColumn id="2" xr3:uid="{3D743DAF-A783-4E63-B9CB-6539814ED20C}" name="ID maszyny"/>
    <tableColumn id="3" xr3:uid="{A3B639DF-EC25-4316-9F1B-3F6F662C229A}" name="Rodzaj wyrobu"/>
    <tableColumn id="4" xr3:uid="{88E6ECDE-2C6B-4150-AC23-6DF173B39E9E}" name="Możliwości produkcyjne na 1h\l"/>
    <tableColumn id="5" xr3:uid="{D11FD5DE-1327-4FE8-9AF2-0A5C8E3F5EF4}" name="Planowana produkcja" dataDxfId="0">
      <calculatedColumnFormula>Planowana_produkcja_luty[[#This Row],[Możliwości produkcyjne na 1h\l]]*M$4*Czas_pracy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1EB17A-740F-4844-BBCC-E9DEA17FBAFF}" name="Planowana_produkcja_marzec" displayName="Planowana_produkcja_marzec" ref="A16:E19" totalsRowShown="0">
  <autoFilter ref="A16:E19" xr:uid="{061EB17A-740F-4844-BBCC-E9DEA17FBAFF}"/>
  <tableColumns count="5">
    <tableColumn id="1" xr3:uid="{A707E41D-1B83-4B7E-8104-91DEFEF5EE6A}" name="Data"/>
    <tableColumn id="2" xr3:uid="{31E9DE33-57D2-4A7F-8331-8E08E3B9B0B0}" name="ID maszyny"/>
    <tableColumn id="3" xr3:uid="{CEE28FDB-4A29-4820-8003-0BA22A0EF543}" name="Rodzaj wyrobu"/>
    <tableColumn id="4" xr3:uid="{2D8C0FA3-1F80-46A9-B187-8DEE903886BE}" name="Możliwości produkcyjne na 1h\l"/>
    <tableColumn id="5" xr3:uid="{D1E3D4AE-6738-4AA0-BC69-2542A39DF731}" name="Planowana produkcja">
      <calculatedColumnFormula>Planowana_produkcja_marzec[[#This Row],[Możliwości produkcyjne na 1h\l]]*M$5*Czas_pracy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9"/>
  <sheetViews>
    <sheetView tabSelected="1" topLeftCell="B1" workbookViewId="0">
      <selection activeCell="G14" sqref="G14"/>
    </sheetView>
  </sheetViews>
  <sheetFormatPr defaultRowHeight="14.5" x14ac:dyDescent="0.35"/>
  <cols>
    <col min="1" max="1" width="9.6328125" customWidth="1"/>
    <col min="2" max="2" width="12.26953125" customWidth="1"/>
    <col min="3" max="3" width="15.90625" customWidth="1"/>
    <col min="4" max="4" width="29.26953125" customWidth="1"/>
    <col min="5" max="5" width="21" customWidth="1"/>
    <col min="12" max="12" width="9.08984375" customWidth="1"/>
    <col min="13" max="13" width="13.1796875" customWidth="1"/>
    <col min="15" max="15" width="10.36328125" customWidth="1"/>
    <col min="16" max="16" width="10" customWidth="1"/>
  </cols>
  <sheetData>
    <row r="2" spans="1:16" x14ac:dyDescent="0.35">
      <c r="A2" t="s">
        <v>18</v>
      </c>
      <c r="B2" t="s">
        <v>0</v>
      </c>
      <c r="C2" t="s">
        <v>4</v>
      </c>
      <c r="D2" t="s">
        <v>16</v>
      </c>
      <c r="E2" t="s">
        <v>15</v>
      </c>
      <c r="L2" t="s">
        <v>13</v>
      </c>
      <c r="M2" t="s">
        <v>14</v>
      </c>
      <c r="P2" t="s">
        <v>17</v>
      </c>
    </row>
    <row r="3" spans="1:16" x14ac:dyDescent="0.35">
      <c r="A3" s="1">
        <v>46023</v>
      </c>
      <c r="B3" t="s">
        <v>1</v>
      </c>
      <c r="C3" t="s">
        <v>5</v>
      </c>
      <c r="D3">
        <f>80000/Czas_pracy</f>
        <v>5000</v>
      </c>
      <c r="E3">
        <f>Planowana_produkcja_styczeń[[#This Row],[Możliwości produkcyjne na 1h\l]]*M3*Czas_pracy</f>
        <v>1600000</v>
      </c>
      <c r="L3" t="s">
        <v>8</v>
      </c>
      <c r="M3">
        <v>20</v>
      </c>
      <c r="P3">
        <v>16</v>
      </c>
    </row>
    <row r="4" spans="1:16" x14ac:dyDescent="0.35">
      <c r="A4" s="1">
        <v>46023</v>
      </c>
      <c r="B4" t="s">
        <v>2</v>
      </c>
      <c r="C4" t="s">
        <v>6</v>
      </c>
      <c r="D4">
        <f>51200/Czas_pracy</f>
        <v>3200</v>
      </c>
      <c r="E4">
        <f>Czas_pracy*M3*D4</f>
        <v>1024000</v>
      </c>
      <c r="L4" t="s">
        <v>9</v>
      </c>
      <c r="M4">
        <v>20</v>
      </c>
    </row>
    <row r="5" spans="1:16" x14ac:dyDescent="0.35">
      <c r="A5" s="1">
        <v>46023</v>
      </c>
      <c r="B5" t="s">
        <v>3</v>
      </c>
      <c r="C5" t="s">
        <v>7</v>
      </c>
      <c r="D5">
        <f>33600/Czas_pracy</f>
        <v>2100</v>
      </c>
      <c r="E5">
        <f>Czas_pracy*20*D5</f>
        <v>672000</v>
      </c>
      <c r="L5" t="s">
        <v>10</v>
      </c>
      <c r="M5">
        <v>22</v>
      </c>
    </row>
    <row r="6" spans="1:16" x14ac:dyDescent="0.35">
      <c r="L6" t="s">
        <v>11</v>
      </c>
      <c r="M6">
        <v>21</v>
      </c>
    </row>
    <row r="7" spans="1:16" x14ac:dyDescent="0.35">
      <c r="L7" t="s">
        <v>12</v>
      </c>
      <c r="M7">
        <v>19</v>
      </c>
    </row>
    <row r="9" spans="1:16" x14ac:dyDescent="0.35">
      <c r="A9" t="s">
        <v>18</v>
      </c>
      <c r="B9" t="s">
        <v>0</v>
      </c>
      <c r="C9" t="s">
        <v>4</v>
      </c>
      <c r="D9" t="s">
        <v>16</v>
      </c>
      <c r="E9" t="s">
        <v>15</v>
      </c>
    </row>
    <row r="10" spans="1:16" x14ac:dyDescent="0.35">
      <c r="A10" s="1">
        <v>46054</v>
      </c>
      <c r="B10" t="s">
        <v>1</v>
      </c>
      <c r="C10" t="s">
        <v>5</v>
      </c>
      <c r="D10">
        <f>80000/Czas_pracy</f>
        <v>5000</v>
      </c>
      <c r="E10">
        <f>Planowana_produkcja_luty[[#This Row],[Możliwości produkcyjne na 1h\l]]*M$4*Czas_pracy</f>
        <v>1600000</v>
      </c>
    </row>
    <row r="11" spans="1:16" x14ac:dyDescent="0.35">
      <c r="A11" s="1">
        <v>46054</v>
      </c>
      <c r="B11" t="s">
        <v>2</v>
      </c>
      <c r="C11" t="s">
        <v>6</v>
      </c>
      <c r="D11">
        <f>51200/Czas_pracy</f>
        <v>3200</v>
      </c>
      <c r="E11">
        <f>Planowana_produkcja_luty[[#This Row],[Możliwości produkcyjne na 1h\l]]*M$4*Czas_pracy</f>
        <v>1024000</v>
      </c>
    </row>
    <row r="12" spans="1:16" x14ac:dyDescent="0.35">
      <c r="A12" s="1">
        <v>46054</v>
      </c>
      <c r="B12" t="s">
        <v>3</v>
      </c>
      <c r="C12" t="s">
        <v>7</v>
      </c>
      <c r="D12">
        <f>33600/Czas_pracy</f>
        <v>2100</v>
      </c>
      <c r="E12">
        <f>Planowana_produkcja_luty[[#This Row],[Możliwości produkcyjne na 1h\l]]*M$4*Czas_pracy</f>
        <v>672000</v>
      </c>
    </row>
    <row r="16" spans="1:16" x14ac:dyDescent="0.35">
      <c r="A16" t="s">
        <v>18</v>
      </c>
      <c r="B16" t="s">
        <v>0</v>
      </c>
      <c r="C16" t="s">
        <v>4</v>
      </c>
      <c r="D16" t="s">
        <v>16</v>
      </c>
      <c r="E16" t="s">
        <v>15</v>
      </c>
    </row>
    <row r="17" spans="1:5" x14ac:dyDescent="0.35">
      <c r="A17" s="1">
        <v>46082</v>
      </c>
      <c r="B17" t="s">
        <v>1</v>
      </c>
      <c r="C17" t="s">
        <v>5</v>
      </c>
      <c r="D17">
        <f>80000/Czas_pracy</f>
        <v>5000</v>
      </c>
      <c r="E17">
        <f>Planowana_produkcja_marzec[[#This Row],[Możliwości produkcyjne na 1h\l]]*M$5*Czas_pracy</f>
        <v>1760000</v>
      </c>
    </row>
    <row r="18" spans="1:5" x14ac:dyDescent="0.35">
      <c r="A18" s="1">
        <v>46082</v>
      </c>
      <c r="B18" t="s">
        <v>2</v>
      </c>
      <c r="C18" t="s">
        <v>6</v>
      </c>
      <c r="D18">
        <f>51200/Czas_pracy</f>
        <v>3200</v>
      </c>
      <c r="E18">
        <f>Planowana_produkcja_marzec[[#This Row],[Możliwości produkcyjne na 1h\l]]*M$5*Czas_pracy</f>
        <v>1126400</v>
      </c>
    </row>
    <row r="19" spans="1:5" x14ac:dyDescent="0.35">
      <c r="A19" s="1">
        <v>46082</v>
      </c>
      <c r="B19" t="s">
        <v>3</v>
      </c>
      <c r="C19" t="s">
        <v>7</v>
      </c>
      <c r="D19">
        <f>33600/Czas_pracy</f>
        <v>2100</v>
      </c>
      <c r="E19">
        <f>Planowana_produkcja_marzec[[#This Row],[Możliwości produkcyjne na 1h\l]]*M$5*Czas_pracy</f>
        <v>739200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Czas_pracy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2026-02-04T19:48:08Z</dcterms:modified>
</cp:coreProperties>
</file>