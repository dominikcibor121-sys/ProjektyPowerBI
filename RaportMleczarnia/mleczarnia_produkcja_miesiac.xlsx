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C\Desktop\Dane Power Bi\"/>
    </mc:Choice>
  </mc:AlternateContent>
  <xr:revisionPtr revIDLastSave="0" documentId="13_ncr:1_{9A63F0E0-6128-4F4D-BB85-9A0CCF7582D6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Produkcja miesięczn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" i="1" l="1"/>
  <c r="O2" i="1" s="1"/>
</calcChain>
</file>

<file path=xl/sharedStrings.xml><?xml version="1.0" encoding="utf-8"?>
<sst xmlns="http://schemas.openxmlformats.org/spreadsheetml/2006/main" count="462" uniqueCount="53">
  <si>
    <t>Data</t>
  </si>
  <si>
    <t>ID maszyny</t>
  </si>
  <si>
    <t>Nazwa maszyny</t>
  </si>
  <si>
    <t>Rodzaj wyrobu</t>
  </si>
  <si>
    <t>Planowany czas pracy (h)</t>
  </si>
  <si>
    <t>Przestój (h)</t>
  </si>
  <si>
    <t>Czas pracy rzeczywisty (h)</t>
  </si>
  <si>
    <t>Produkcja (l)</t>
  </si>
  <si>
    <t>Zużycie energii (kWh)</t>
  </si>
  <si>
    <t>Koszt energii (PLN)</t>
  </si>
  <si>
    <t>Koszt przestoju (PLN)</t>
  </si>
  <si>
    <t>Awaria (TAK/NIE)</t>
  </si>
  <si>
    <t>2026-01-01</t>
  </si>
  <si>
    <t>M1</t>
  </si>
  <si>
    <t>Pasteryzator A</t>
  </si>
  <si>
    <t>NIE</t>
  </si>
  <si>
    <t>M2</t>
  </si>
  <si>
    <t>Linia jogurtowa B</t>
  </si>
  <si>
    <t>Jogurt naturalny</t>
  </si>
  <si>
    <t>M3</t>
  </si>
  <si>
    <t>Linia serowa C</t>
  </si>
  <si>
    <t>Ser twarogowy</t>
  </si>
  <si>
    <t>2026-01-02</t>
  </si>
  <si>
    <t>TAK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</si>
  <si>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</si>
  <si>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</si>
  <si>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</si>
  <si>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</si>
  <si>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</si>
  <si>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</si>
  <si>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</si>
  <si>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</si>
  <si>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</si>
  <si>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</si>
  <si>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</si>
  <si>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</si>
  <si>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</si>
  <si>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</si>
  <si>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</si>
  <si>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</si>
  <si>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</si>
  <si>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</si>
  <si>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</si>
  <si>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</si>
  <si>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</si>
  <si>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</si>
  <si>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</si>
  <si>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</si>
  <si>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</si>
  <si>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</si>
  <si>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</si>
  <si>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</si>
  <si>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Ser żółty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</si>
</sst>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43A798-4D05-4028-B0EA-8A2BC2353948}" name="Tabela1" displayName="Tabela1" ref="A1:L91" totalsRowShown="0">
  <autoFilter ref="A1:L91" xr:uid="{6943A798-4D05-4028-B0EA-8A2BC2353948}">
    <filterColumn colId="0">
      <filters>
        <filter val="2026-01-02"/>
        <filter val="2026-01-05"/>
        <filter val="2026-01-07"/>
        <filter val="2026-01-08"/>
        <filter val="2026-01-09"/>
        <filter val="2026-01-12"/>
        <filter val="2026-01-13"/>
        <filter val="2026-01-14"/>
        <filter val="2026-01-15"/>
        <filter val="2026-01-16"/>
        <filter val="2026-01-19"/>
        <filter val="2026-01-20"/>
        <filter val="2026-01-21"/>
        <filter val="2026-01-22"/>
        <filter val="2026-01-23"/>
        <filter val="2026-01-26"/>
        <filter val="2026-01-27"/>
        <filter val="2026-01-28"/>
        <filter val="2026-01-29"/>
        <filter val="2026-01-30"/>
      </filters>
    </filterColumn>
    <filterColumn colId="4">
      <filters>
        <filter val="16"/>
      </filters>
    </filterColumn>
  </autoFilter>
  <tableColumns count="12">
    <tableColumn id="1" xr3:uid="{EA39ED3C-DA99-4D7D-8503-F558F38F84A7}" name="Data"/>
    <tableColumn id="2" xr3:uid="{A5EA7B44-45AD-4C68-8534-9F1739F4BFBF}" name="ID maszyny"/>
    <tableColumn id="3" xr3:uid="{4CA05715-3866-45B8-9161-C742A81A81DE}" name="Nazwa maszyny"/>
    <tableColumn id="4" xr3:uid="{3AF16D19-BBEE-461B-A587-4733BE624B56}" name="Rodzaj wyrobu"/>
    <tableColumn id="5" xr3:uid="{B3508DF4-6288-4434-8E72-75151AE2071C}" name="Planowany czas pracy (h)"/>
    <tableColumn id="6" xr3:uid="{CC8E929A-17C8-41A8-A75F-6C141CA248B9}" name="Przestój (h)"/>
    <tableColumn id="7" xr3:uid="{2F8ED01B-5F55-4062-B40C-009A24DBAAC4}" name="Czas pracy rzeczywisty (h)"/>
    <tableColumn id="8" xr3:uid="{68886BA7-D2C2-491D-B763-9BDDDE9E2A1B}" name="Produkcja (l)"/>
    <tableColumn id="9" xr3:uid="{B63FD7E1-2B8C-4A11-8E87-3C590D6BBBE9}" name="Zużycie energii (kWh)"/>
    <tableColumn id="10" xr3:uid="{94419995-C931-48A2-AF66-055906EBF2AF}" name="Koszt energii (PLN)"/>
    <tableColumn id="11" xr3:uid="{402D17E9-A5FE-4404-A388-DD2A233ED20C}" name="Koszt przestoju (PLN)"/>
    <tableColumn id="12" xr3:uid="{F4FA0F6D-2DAD-4B6A-8BD5-0791E1D24360}" name="Awaria (TAK/NIE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1"/>
  <sheetViews>
    <sheetView tabSelected="1" zoomScale="70" zoomScaleNormal="70" workbookViewId="0">
      <selection activeCell="N23" sqref="N23"/>
    </sheetView>
  </sheetViews>
  <sheetFormatPr defaultRowHeight="14.5" x14ac:dyDescent="0.35"/>
  <cols>
    <col min="1" max="1" width="19.7265625" customWidth="1"/>
    <col min="2" max="2" width="12.26953125" customWidth="1"/>
    <col min="3" max="3" width="16.08984375" customWidth="1"/>
    <col min="4" max="4" width="27.90625" customWidth="1"/>
    <col min="5" max="5" width="23.7265625" customWidth="1"/>
    <col min="6" max="6" width="12.453125" customWidth="1"/>
    <col min="7" max="7" width="24.26953125" customWidth="1"/>
    <col min="8" max="8" width="13.453125" customWidth="1"/>
    <col min="9" max="9" width="20.6328125" customWidth="1"/>
    <col min="10" max="10" width="18.36328125" customWidth="1"/>
    <col min="11" max="11" width="20.6328125" customWidth="1"/>
    <col min="12" max="12" width="17.26953125" customWidth="1"/>
    <col min="15" max="15" width="14.4531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5" hidden="1" x14ac:dyDescent="0.35">
      <c r="A2" t="s">
        <v>12</v>
      </c>
      <c r="B2" t="s">
        <v>13</v>
      </c>
      <c r="C2" t="s">
        <v>14</v>
      </c>
      <c r="D2" t="s">
        <v>52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15</v>
      </c>
      <c r="N2">
        <f>COUNTIF(Tabela1[[#All],[Planowany czas pracy (h)]], "= 16")</f>
        <v>84</v>
      </c>
      <c r="O2">
        <f>N2/3</f>
        <v>28</v>
      </c>
    </row>
    <row r="3" spans="1:15" hidden="1" x14ac:dyDescent="0.35">
      <c r="A3" t="s">
        <v>12</v>
      </c>
      <c r="B3" t="s">
        <v>16</v>
      </c>
      <c r="C3" t="s">
        <v>17</v>
      </c>
      <c r="D3" t="s">
        <v>18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15</v>
      </c>
    </row>
    <row r="4" spans="1:15" hidden="1" x14ac:dyDescent="0.35">
      <c r="A4" t="s">
        <v>12</v>
      </c>
      <c r="B4" t="s">
        <v>19</v>
      </c>
      <c r="C4" t="s">
        <v>20</v>
      </c>
      <c r="D4" t="s">
        <v>21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15</v>
      </c>
    </row>
    <row r="5" spans="1:15" x14ac:dyDescent="0.35">
      <c r="A5" t="s">
        <v>22</v>
      </c>
      <c r="B5" t="s">
        <v>13</v>
      </c>
      <c r="C5" t="s">
        <v>14</v>
      </c>
      <c r="D5" t="s">
        <v>52</v>
      </c>
      <c r="E5">
        <v>16</v>
      </c>
      <c r="F5">
        <v>0</v>
      </c>
      <c r="G5">
        <v>16</v>
      </c>
      <c r="H5">
        <v>80000</v>
      </c>
      <c r="I5">
        <v>1200</v>
      </c>
      <c r="J5">
        <v>1080</v>
      </c>
      <c r="K5">
        <v>0</v>
      </c>
      <c r="L5" t="s">
        <v>15</v>
      </c>
    </row>
    <row r="6" spans="1:15" x14ac:dyDescent="0.35">
      <c r="A6" t="s">
        <v>22</v>
      </c>
      <c r="B6" t="s">
        <v>16</v>
      </c>
      <c r="C6" t="s">
        <v>17</v>
      </c>
      <c r="D6" t="s">
        <v>18</v>
      </c>
      <c r="E6">
        <v>16</v>
      </c>
      <c r="F6">
        <v>0</v>
      </c>
      <c r="G6">
        <v>16</v>
      </c>
      <c r="H6">
        <v>51200</v>
      </c>
      <c r="I6">
        <v>1088</v>
      </c>
      <c r="J6">
        <v>979.2</v>
      </c>
      <c r="K6">
        <v>0</v>
      </c>
      <c r="L6" t="s">
        <v>15</v>
      </c>
    </row>
    <row r="7" spans="1:15" x14ac:dyDescent="0.35">
      <c r="A7" t="s">
        <v>22</v>
      </c>
      <c r="B7" t="s">
        <v>19</v>
      </c>
      <c r="C7" t="s">
        <v>20</v>
      </c>
      <c r="D7" t="s">
        <v>21</v>
      </c>
      <c r="E7">
        <v>16</v>
      </c>
      <c r="F7">
        <v>2</v>
      </c>
      <c r="G7">
        <v>14</v>
      </c>
      <c r="H7" s="1">
        <v>29400</v>
      </c>
      <c r="I7">
        <v>1120</v>
      </c>
      <c r="J7">
        <v>1008</v>
      </c>
      <c r="K7">
        <v>1200</v>
      </c>
      <c r="L7" t="s">
        <v>23</v>
      </c>
    </row>
    <row r="8" spans="1:15" x14ac:dyDescent="0.35">
      <c r="A8" t="s">
        <v>24</v>
      </c>
      <c r="B8" t="s">
        <v>13</v>
      </c>
      <c r="C8" t="s">
        <v>14</v>
      </c>
      <c r="D8" t="s">
        <v>52</v>
      </c>
      <c r="E8">
        <v>16</v>
      </c>
      <c r="F8">
        <v>1</v>
      </c>
      <c r="G8">
        <v>15</v>
      </c>
      <c r="H8">
        <v>75000</v>
      </c>
      <c r="I8">
        <v>1125</v>
      </c>
      <c r="J8">
        <v>1012.5</v>
      </c>
      <c r="K8">
        <v>600</v>
      </c>
      <c r="L8" t="s">
        <v>23</v>
      </c>
    </row>
    <row r="9" spans="1:15" x14ac:dyDescent="0.35">
      <c r="A9" t="s">
        <v>24</v>
      </c>
      <c r="B9" t="s">
        <v>16</v>
      </c>
      <c r="C9" t="s">
        <v>17</v>
      </c>
      <c r="D9" t="s">
        <v>18</v>
      </c>
      <c r="E9">
        <v>16</v>
      </c>
      <c r="F9">
        <v>2</v>
      </c>
      <c r="G9">
        <v>14</v>
      </c>
      <c r="H9">
        <v>44800</v>
      </c>
      <c r="I9">
        <v>952</v>
      </c>
      <c r="J9">
        <v>856.8</v>
      </c>
      <c r="K9">
        <v>1200</v>
      </c>
      <c r="L9" t="s">
        <v>23</v>
      </c>
    </row>
    <row r="10" spans="1:15" x14ac:dyDescent="0.35">
      <c r="A10" t="s">
        <v>24</v>
      </c>
      <c r="B10" t="s">
        <v>19</v>
      </c>
      <c r="C10" t="s">
        <v>20</v>
      </c>
      <c r="D10" t="s">
        <v>21</v>
      </c>
      <c r="E10">
        <v>16</v>
      </c>
      <c r="F10">
        <v>0</v>
      </c>
      <c r="G10">
        <v>16</v>
      </c>
      <c r="H10">
        <v>33600</v>
      </c>
      <c r="I10">
        <v>1280</v>
      </c>
      <c r="J10">
        <v>1152</v>
      </c>
      <c r="K10">
        <v>0</v>
      </c>
      <c r="L10" t="s">
        <v>15</v>
      </c>
    </row>
    <row r="11" spans="1:15" hidden="1" x14ac:dyDescent="0.35">
      <c r="A11" t="s">
        <v>25</v>
      </c>
      <c r="B11" t="s">
        <v>13</v>
      </c>
      <c r="C11" t="s">
        <v>14</v>
      </c>
      <c r="D11" t="s">
        <v>52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15</v>
      </c>
    </row>
    <row r="12" spans="1:15" hidden="1" x14ac:dyDescent="0.35">
      <c r="A12" t="s">
        <v>25</v>
      </c>
      <c r="B12" t="s">
        <v>16</v>
      </c>
      <c r="C12" t="s">
        <v>17</v>
      </c>
      <c r="D12" t="s">
        <v>18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15</v>
      </c>
    </row>
    <row r="13" spans="1:15" hidden="1" x14ac:dyDescent="0.35">
      <c r="A13" t="s">
        <v>25</v>
      </c>
      <c r="B13" t="s">
        <v>19</v>
      </c>
      <c r="C13" t="s">
        <v>20</v>
      </c>
      <c r="D13" t="s">
        <v>21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15</v>
      </c>
    </row>
    <row r="14" spans="1:15" x14ac:dyDescent="0.35">
      <c r="A14" t="s">
        <v>26</v>
      </c>
      <c r="B14" t="s">
        <v>13</v>
      </c>
      <c r="C14" t="s">
        <v>14</v>
      </c>
      <c r="D14" t="s">
        <v>52</v>
      </c>
      <c r="E14">
        <v>16</v>
      </c>
      <c r="F14">
        <v>1</v>
      </c>
      <c r="G14">
        <v>15</v>
      </c>
      <c r="H14">
        <v>75000</v>
      </c>
      <c r="I14">
        <v>1125</v>
      </c>
      <c r="J14">
        <v>1012.5</v>
      </c>
      <c r="K14">
        <v>600</v>
      </c>
      <c r="L14" t="s">
        <v>23</v>
      </c>
    </row>
    <row r="15" spans="1:15" x14ac:dyDescent="0.35">
      <c r="A15" t="s">
        <v>26</v>
      </c>
      <c r="B15" t="s">
        <v>16</v>
      </c>
      <c r="C15" t="s">
        <v>17</v>
      </c>
      <c r="D15" t="s">
        <v>18</v>
      </c>
      <c r="E15">
        <v>16</v>
      </c>
      <c r="F15">
        <v>2</v>
      </c>
      <c r="G15">
        <v>14</v>
      </c>
      <c r="H15">
        <v>44800</v>
      </c>
      <c r="I15">
        <v>952</v>
      </c>
      <c r="J15">
        <v>856.8</v>
      </c>
      <c r="K15">
        <v>1200</v>
      </c>
      <c r="L15" t="s">
        <v>23</v>
      </c>
    </row>
    <row r="16" spans="1:15" x14ac:dyDescent="0.35">
      <c r="A16" t="s">
        <v>26</v>
      </c>
      <c r="B16" t="s">
        <v>19</v>
      </c>
      <c r="C16" t="s">
        <v>20</v>
      </c>
      <c r="D16" t="s">
        <v>21</v>
      </c>
      <c r="E16">
        <v>16</v>
      </c>
      <c r="F16">
        <v>0</v>
      </c>
      <c r="G16">
        <v>16</v>
      </c>
      <c r="H16">
        <v>33600</v>
      </c>
      <c r="I16">
        <v>1280</v>
      </c>
      <c r="J16">
        <v>1152</v>
      </c>
      <c r="K16">
        <v>0</v>
      </c>
      <c r="L16" t="s">
        <v>15</v>
      </c>
    </row>
    <row r="17" spans="1:12" x14ac:dyDescent="0.35">
      <c r="A17" t="s">
        <v>27</v>
      </c>
      <c r="B17" t="s">
        <v>13</v>
      </c>
      <c r="C17" t="s">
        <v>14</v>
      </c>
      <c r="D17" t="s">
        <v>52</v>
      </c>
      <c r="E17">
        <v>16</v>
      </c>
      <c r="F17">
        <v>1</v>
      </c>
      <c r="G17">
        <v>15</v>
      </c>
      <c r="H17">
        <v>75000</v>
      </c>
      <c r="I17">
        <v>1125</v>
      </c>
      <c r="J17">
        <v>1012.5</v>
      </c>
      <c r="K17">
        <v>600</v>
      </c>
      <c r="L17" t="s">
        <v>23</v>
      </c>
    </row>
    <row r="18" spans="1:12" x14ac:dyDescent="0.35">
      <c r="A18" t="s">
        <v>27</v>
      </c>
      <c r="B18" t="s">
        <v>16</v>
      </c>
      <c r="C18" t="s">
        <v>17</v>
      </c>
      <c r="D18" t="s">
        <v>18</v>
      </c>
      <c r="E18">
        <v>16</v>
      </c>
      <c r="F18">
        <v>0</v>
      </c>
      <c r="G18">
        <v>16</v>
      </c>
      <c r="H18">
        <v>51200</v>
      </c>
      <c r="I18">
        <v>1088</v>
      </c>
      <c r="J18">
        <v>979.2</v>
      </c>
      <c r="K18">
        <v>0</v>
      </c>
      <c r="L18" t="s">
        <v>15</v>
      </c>
    </row>
    <row r="19" spans="1:12" x14ac:dyDescent="0.35">
      <c r="A19" t="s">
        <v>27</v>
      </c>
      <c r="B19" t="s">
        <v>19</v>
      </c>
      <c r="C19" t="s">
        <v>20</v>
      </c>
      <c r="D19" t="s">
        <v>21</v>
      </c>
      <c r="E19">
        <v>16</v>
      </c>
      <c r="F19">
        <v>1</v>
      </c>
      <c r="G19">
        <v>15</v>
      </c>
      <c r="H19">
        <v>31500</v>
      </c>
      <c r="I19">
        <v>1200</v>
      </c>
      <c r="J19">
        <v>1080</v>
      </c>
      <c r="K19">
        <v>600</v>
      </c>
      <c r="L19" t="s">
        <v>23</v>
      </c>
    </row>
    <row r="20" spans="1:12" x14ac:dyDescent="0.35">
      <c r="A20" t="s">
        <v>28</v>
      </c>
      <c r="B20" t="s">
        <v>13</v>
      </c>
      <c r="C20" t="s">
        <v>14</v>
      </c>
      <c r="D20" t="s">
        <v>52</v>
      </c>
      <c r="E20">
        <v>16</v>
      </c>
      <c r="F20">
        <v>0</v>
      </c>
      <c r="G20">
        <v>16</v>
      </c>
      <c r="H20">
        <v>80000</v>
      </c>
      <c r="I20">
        <v>1200</v>
      </c>
      <c r="J20">
        <v>1080</v>
      </c>
      <c r="K20">
        <v>0</v>
      </c>
      <c r="L20" t="s">
        <v>15</v>
      </c>
    </row>
    <row r="21" spans="1:12" x14ac:dyDescent="0.35">
      <c r="A21" t="s">
        <v>28</v>
      </c>
      <c r="B21" t="s">
        <v>16</v>
      </c>
      <c r="C21" t="s">
        <v>17</v>
      </c>
      <c r="D21" t="s">
        <v>18</v>
      </c>
      <c r="E21">
        <v>16</v>
      </c>
      <c r="F21">
        <v>0</v>
      </c>
      <c r="G21">
        <v>16</v>
      </c>
      <c r="H21">
        <v>51200</v>
      </c>
      <c r="I21">
        <v>1088</v>
      </c>
      <c r="J21">
        <v>979.2</v>
      </c>
      <c r="K21">
        <v>0</v>
      </c>
      <c r="L21" t="s">
        <v>15</v>
      </c>
    </row>
    <row r="22" spans="1:12" x14ac:dyDescent="0.35">
      <c r="A22" t="s">
        <v>28</v>
      </c>
      <c r="B22" t="s">
        <v>19</v>
      </c>
      <c r="C22" t="s">
        <v>20</v>
      </c>
      <c r="D22" t="s">
        <v>21</v>
      </c>
      <c r="E22">
        <v>16</v>
      </c>
      <c r="F22">
        <v>1</v>
      </c>
      <c r="G22">
        <v>15</v>
      </c>
      <c r="H22">
        <v>31500</v>
      </c>
      <c r="I22">
        <v>1200</v>
      </c>
      <c r="J22">
        <v>1080</v>
      </c>
      <c r="K22">
        <v>600</v>
      </c>
      <c r="L22" t="s">
        <v>23</v>
      </c>
    </row>
    <row r="23" spans="1:12" x14ac:dyDescent="0.35">
      <c r="A23" t="s">
        <v>29</v>
      </c>
      <c r="B23" t="s">
        <v>13</v>
      </c>
      <c r="C23" t="s">
        <v>14</v>
      </c>
      <c r="D23" t="s">
        <v>52</v>
      </c>
      <c r="E23">
        <v>16</v>
      </c>
      <c r="F23">
        <v>1</v>
      </c>
      <c r="G23">
        <v>15</v>
      </c>
      <c r="H23">
        <v>75000</v>
      </c>
      <c r="I23">
        <v>1125</v>
      </c>
      <c r="J23">
        <v>1012.5</v>
      </c>
      <c r="K23">
        <v>600</v>
      </c>
      <c r="L23" t="s">
        <v>23</v>
      </c>
    </row>
    <row r="24" spans="1:12" x14ac:dyDescent="0.35">
      <c r="A24" t="s">
        <v>29</v>
      </c>
      <c r="B24" t="s">
        <v>16</v>
      </c>
      <c r="C24" t="s">
        <v>17</v>
      </c>
      <c r="D24" t="s">
        <v>18</v>
      </c>
      <c r="E24">
        <v>16</v>
      </c>
      <c r="F24">
        <v>0</v>
      </c>
      <c r="G24">
        <v>16</v>
      </c>
      <c r="H24">
        <v>51200</v>
      </c>
      <c r="I24">
        <v>1088</v>
      </c>
      <c r="J24">
        <v>979.2</v>
      </c>
      <c r="K24">
        <v>0</v>
      </c>
      <c r="L24" t="s">
        <v>15</v>
      </c>
    </row>
    <row r="25" spans="1:12" x14ac:dyDescent="0.35">
      <c r="A25" t="s">
        <v>29</v>
      </c>
      <c r="B25" t="s">
        <v>19</v>
      </c>
      <c r="C25" t="s">
        <v>20</v>
      </c>
      <c r="D25" t="s">
        <v>21</v>
      </c>
      <c r="E25">
        <v>16</v>
      </c>
      <c r="F25">
        <v>0</v>
      </c>
      <c r="G25">
        <v>16</v>
      </c>
      <c r="H25">
        <v>33600</v>
      </c>
      <c r="I25">
        <v>1280</v>
      </c>
      <c r="J25">
        <v>1152</v>
      </c>
      <c r="K25">
        <v>0</v>
      </c>
      <c r="L25" t="s">
        <v>15</v>
      </c>
    </row>
    <row r="26" spans="1:12" x14ac:dyDescent="0.35">
      <c r="A26" t="s">
        <v>30</v>
      </c>
      <c r="B26" t="s">
        <v>13</v>
      </c>
      <c r="C26" t="s">
        <v>14</v>
      </c>
      <c r="D26" t="s">
        <v>52</v>
      </c>
      <c r="E26">
        <v>16</v>
      </c>
      <c r="F26">
        <v>0</v>
      </c>
      <c r="G26">
        <v>16</v>
      </c>
      <c r="H26">
        <v>80000</v>
      </c>
      <c r="I26">
        <v>1200</v>
      </c>
      <c r="J26">
        <v>1080</v>
      </c>
      <c r="K26">
        <v>0</v>
      </c>
      <c r="L26" t="s">
        <v>15</v>
      </c>
    </row>
    <row r="27" spans="1:12" x14ac:dyDescent="0.35">
      <c r="A27" t="s">
        <v>30</v>
      </c>
      <c r="B27" t="s">
        <v>16</v>
      </c>
      <c r="C27" t="s">
        <v>17</v>
      </c>
      <c r="D27" t="s">
        <v>18</v>
      </c>
      <c r="E27">
        <v>16</v>
      </c>
      <c r="F27">
        <v>0</v>
      </c>
      <c r="G27">
        <v>16</v>
      </c>
      <c r="H27">
        <v>51200</v>
      </c>
      <c r="I27">
        <v>1088</v>
      </c>
      <c r="J27">
        <v>979.2</v>
      </c>
      <c r="K27">
        <v>0</v>
      </c>
      <c r="L27" t="s">
        <v>15</v>
      </c>
    </row>
    <row r="28" spans="1:12" x14ac:dyDescent="0.35">
      <c r="A28" t="s">
        <v>30</v>
      </c>
      <c r="B28" t="s">
        <v>19</v>
      </c>
      <c r="C28" t="s">
        <v>20</v>
      </c>
      <c r="D28" t="s">
        <v>21</v>
      </c>
      <c r="E28">
        <v>16</v>
      </c>
      <c r="F28">
        <v>2</v>
      </c>
      <c r="G28">
        <v>14</v>
      </c>
      <c r="H28">
        <v>29400</v>
      </c>
      <c r="I28">
        <v>1120</v>
      </c>
      <c r="J28">
        <v>1008</v>
      </c>
      <c r="K28">
        <v>1200</v>
      </c>
      <c r="L28" t="s">
        <v>23</v>
      </c>
    </row>
    <row r="29" spans="1:12" x14ac:dyDescent="0.35">
      <c r="A29" t="s">
        <v>31</v>
      </c>
      <c r="B29" t="s">
        <v>13</v>
      </c>
      <c r="C29" t="s">
        <v>14</v>
      </c>
      <c r="D29" t="s">
        <v>52</v>
      </c>
      <c r="E29">
        <v>16</v>
      </c>
      <c r="F29">
        <v>0</v>
      </c>
      <c r="G29">
        <v>16</v>
      </c>
      <c r="H29">
        <v>80000</v>
      </c>
      <c r="I29">
        <v>1200</v>
      </c>
      <c r="J29">
        <v>1080</v>
      </c>
      <c r="K29">
        <v>0</v>
      </c>
      <c r="L29" t="s">
        <v>15</v>
      </c>
    </row>
    <row r="30" spans="1:12" x14ac:dyDescent="0.35">
      <c r="A30" t="s">
        <v>31</v>
      </c>
      <c r="B30" t="s">
        <v>16</v>
      </c>
      <c r="C30" t="s">
        <v>17</v>
      </c>
      <c r="D30" t="s">
        <v>18</v>
      </c>
      <c r="E30">
        <v>16</v>
      </c>
      <c r="F30">
        <v>0</v>
      </c>
      <c r="G30">
        <v>16</v>
      </c>
      <c r="H30">
        <v>51200</v>
      </c>
      <c r="I30">
        <v>1088</v>
      </c>
      <c r="J30">
        <v>979.2</v>
      </c>
      <c r="K30">
        <v>0</v>
      </c>
      <c r="L30" t="s">
        <v>15</v>
      </c>
    </row>
    <row r="31" spans="1:12" x14ac:dyDescent="0.35">
      <c r="A31" t="s">
        <v>31</v>
      </c>
      <c r="B31" t="s">
        <v>19</v>
      </c>
      <c r="C31" t="s">
        <v>20</v>
      </c>
      <c r="D31" t="s">
        <v>21</v>
      </c>
      <c r="E31">
        <v>16</v>
      </c>
      <c r="F31">
        <v>0</v>
      </c>
      <c r="G31">
        <v>16</v>
      </c>
      <c r="H31">
        <v>33600</v>
      </c>
      <c r="I31">
        <v>1280</v>
      </c>
      <c r="J31">
        <v>1152</v>
      </c>
      <c r="K31">
        <v>0</v>
      </c>
      <c r="L31" t="s">
        <v>15</v>
      </c>
    </row>
    <row r="32" spans="1:12" x14ac:dyDescent="0.35">
      <c r="A32" t="s">
        <v>32</v>
      </c>
      <c r="B32" t="s">
        <v>13</v>
      </c>
      <c r="C32" t="s">
        <v>14</v>
      </c>
      <c r="D32" t="s">
        <v>52</v>
      </c>
      <c r="E32">
        <v>16</v>
      </c>
      <c r="F32">
        <v>1</v>
      </c>
      <c r="G32">
        <v>15</v>
      </c>
      <c r="H32">
        <v>75000</v>
      </c>
      <c r="I32">
        <v>1125</v>
      </c>
      <c r="J32">
        <v>1012.5</v>
      </c>
      <c r="K32">
        <v>600</v>
      </c>
      <c r="L32" t="s">
        <v>23</v>
      </c>
    </row>
    <row r="33" spans="1:12" x14ac:dyDescent="0.35">
      <c r="A33" t="s">
        <v>32</v>
      </c>
      <c r="B33" t="s">
        <v>16</v>
      </c>
      <c r="C33" t="s">
        <v>17</v>
      </c>
      <c r="D33" t="s">
        <v>18</v>
      </c>
      <c r="E33">
        <v>16</v>
      </c>
      <c r="F33">
        <v>1</v>
      </c>
      <c r="G33">
        <v>15</v>
      </c>
      <c r="H33">
        <v>48000</v>
      </c>
      <c r="I33">
        <v>1020</v>
      </c>
      <c r="J33">
        <v>918</v>
      </c>
      <c r="K33">
        <v>600</v>
      </c>
      <c r="L33" t="s">
        <v>23</v>
      </c>
    </row>
    <row r="34" spans="1:12" x14ac:dyDescent="0.35">
      <c r="A34" t="s">
        <v>32</v>
      </c>
      <c r="B34" t="s">
        <v>19</v>
      </c>
      <c r="C34" t="s">
        <v>20</v>
      </c>
      <c r="D34" t="s">
        <v>21</v>
      </c>
      <c r="E34">
        <v>16</v>
      </c>
      <c r="F34">
        <v>0</v>
      </c>
      <c r="G34">
        <v>16</v>
      </c>
      <c r="H34">
        <v>33600</v>
      </c>
      <c r="I34">
        <v>1280</v>
      </c>
      <c r="J34">
        <v>1152</v>
      </c>
      <c r="K34">
        <v>0</v>
      </c>
      <c r="L34" t="s">
        <v>15</v>
      </c>
    </row>
    <row r="35" spans="1:12" x14ac:dyDescent="0.35">
      <c r="A35" t="s">
        <v>33</v>
      </c>
      <c r="B35" t="s">
        <v>13</v>
      </c>
      <c r="C35" t="s">
        <v>14</v>
      </c>
      <c r="D35" t="s">
        <v>52</v>
      </c>
      <c r="E35">
        <v>16</v>
      </c>
      <c r="F35">
        <v>0</v>
      </c>
      <c r="G35">
        <v>16</v>
      </c>
      <c r="H35">
        <v>80000</v>
      </c>
      <c r="I35">
        <v>1200</v>
      </c>
      <c r="J35">
        <v>1080</v>
      </c>
      <c r="K35">
        <v>0</v>
      </c>
      <c r="L35" t="s">
        <v>15</v>
      </c>
    </row>
    <row r="36" spans="1:12" x14ac:dyDescent="0.35">
      <c r="A36" t="s">
        <v>33</v>
      </c>
      <c r="B36" t="s">
        <v>16</v>
      </c>
      <c r="C36" t="s">
        <v>17</v>
      </c>
      <c r="D36" t="s">
        <v>18</v>
      </c>
      <c r="E36">
        <v>16</v>
      </c>
      <c r="F36">
        <v>1</v>
      </c>
      <c r="G36">
        <v>15</v>
      </c>
      <c r="H36">
        <v>48000</v>
      </c>
      <c r="I36">
        <v>1020</v>
      </c>
      <c r="J36">
        <v>918</v>
      </c>
      <c r="K36">
        <v>600</v>
      </c>
      <c r="L36" t="s">
        <v>23</v>
      </c>
    </row>
    <row r="37" spans="1:12" x14ac:dyDescent="0.35">
      <c r="A37" t="s">
        <v>33</v>
      </c>
      <c r="B37" t="s">
        <v>19</v>
      </c>
      <c r="C37" t="s">
        <v>20</v>
      </c>
      <c r="D37" t="s">
        <v>21</v>
      </c>
      <c r="E37">
        <v>16</v>
      </c>
      <c r="F37">
        <v>0</v>
      </c>
      <c r="G37">
        <v>16</v>
      </c>
      <c r="H37">
        <v>33600</v>
      </c>
      <c r="I37">
        <v>1280</v>
      </c>
      <c r="J37">
        <v>1152</v>
      </c>
      <c r="K37">
        <v>0</v>
      </c>
      <c r="L37" t="s">
        <v>15</v>
      </c>
    </row>
    <row r="38" spans="1:12" x14ac:dyDescent="0.35">
      <c r="A38" t="s">
        <v>34</v>
      </c>
      <c r="B38" t="s">
        <v>13</v>
      </c>
      <c r="C38" t="s">
        <v>14</v>
      </c>
      <c r="D38" t="s">
        <v>52</v>
      </c>
      <c r="E38">
        <v>16</v>
      </c>
      <c r="F38">
        <v>0</v>
      </c>
      <c r="G38">
        <v>16</v>
      </c>
      <c r="H38">
        <v>80000</v>
      </c>
      <c r="I38">
        <v>1200</v>
      </c>
      <c r="J38">
        <v>1080</v>
      </c>
      <c r="K38">
        <v>0</v>
      </c>
      <c r="L38" t="s">
        <v>15</v>
      </c>
    </row>
    <row r="39" spans="1:12" x14ac:dyDescent="0.35">
      <c r="A39" t="s">
        <v>34</v>
      </c>
      <c r="B39" t="s">
        <v>16</v>
      </c>
      <c r="C39" t="s">
        <v>17</v>
      </c>
      <c r="D39" t="s">
        <v>18</v>
      </c>
      <c r="E39">
        <v>16</v>
      </c>
      <c r="F39">
        <v>0</v>
      </c>
      <c r="G39">
        <v>16</v>
      </c>
      <c r="H39">
        <v>51200</v>
      </c>
      <c r="I39">
        <v>1088</v>
      </c>
      <c r="J39">
        <v>979.2</v>
      </c>
      <c r="K39">
        <v>0</v>
      </c>
      <c r="L39" t="s">
        <v>15</v>
      </c>
    </row>
    <row r="40" spans="1:12" x14ac:dyDescent="0.35">
      <c r="A40" t="s">
        <v>34</v>
      </c>
      <c r="B40" t="s">
        <v>19</v>
      </c>
      <c r="C40" t="s">
        <v>20</v>
      </c>
      <c r="D40" t="s">
        <v>21</v>
      </c>
      <c r="E40">
        <v>16</v>
      </c>
      <c r="F40">
        <v>2</v>
      </c>
      <c r="G40">
        <v>14</v>
      </c>
      <c r="H40">
        <v>29400</v>
      </c>
      <c r="I40">
        <v>1120</v>
      </c>
      <c r="J40">
        <v>1008</v>
      </c>
      <c r="K40">
        <v>1200</v>
      </c>
      <c r="L40" t="s">
        <v>23</v>
      </c>
    </row>
    <row r="41" spans="1:12" x14ac:dyDescent="0.35">
      <c r="A41" t="s">
        <v>35</v>
      </c>
      <c r="B41" t="s">
        <v>13</v>
      </c>
      <c r="C41" t="s">
        <v>14</v>
      </c>
      <c r="D41" t="s">
        <v>52</v>
      </c>
      <c r="E41">
        <v>16</v>
      </c>
      <c r="F41">
        <v>0</v>
      </c>
      <c r="G41">
        <v>16</v>
      </c>
      <c r="H41">
        <v>80000</v>
      </c>
      <c r="I41">
        <v>1200</v>
      </c>
      <c r="J41">
        <v>1080</v>
      </c>
      <c r="K41">
        <v>0</v>
      </c>
      <c r="L41" t="s">
        <v>15</v>
      </c>
    </row>
    <row r="42" spans="1:12" x14ac:dyDescent="0.35">
      <c r="A42" t="s">
        <v>35</v>
      </c>
      <c r="B42" t="s">
        <v>16</v>
      </c>
      <c r="C42" t="s">
        <v>17</v>
      </c>
      <c r="D42" t="s">
        <v>18</v>
      </c>
      <c r="E42">
        <v>16</v>
      </c>
      <c r="F42">
        <v>0</v>
      </c>
      <c r="G42">
        <v>16</v>
      </c>
      <c r="H42">
        <v>51200</v>
      </c>
      <c r="I42">
        <v>1088</v>
      </c>
      <c r="J42">
        <v>979.2</v>
      </c>
      <c r="K42">
        <v>0</v>
      </c>
      <c r="L42" t="s">
        <v>15</v>
      </c>
    </row>
    <row r="43" spans="1:12" x14ac:dyDescent="0.35">
      <c r="A43" t="s">
        <v>35</v>
      </c>
      <c r="B43" t="s">
        <v>19</v>
      </c>
      <c r="C43" t="s">
        <v>20</v>
      </c>
      <c r="D43" t="s">
        <v>21</v>
      </c>
      <c r="E43">
        <v>16</v>
      </c>
      <c r="F43">
        <v>0</v>
      </c>
      <c r="G43">
        <v>16</v>
      </c>
      <c r="H43">
        <v>33600</v>
      </c>
      <c r="I43">
        <v>1280</v>
      </c>
      <c r="J43">
        <v>1152</v>
      </c>
      <c r="K43">
        <v>0</v>
      </c>
      <c r="L43" t="s">
        <v>15</v>
      </c>
    </row>
    <row r="44" spans="1:12" x14ac:dyDescent="0.35">
      <c r="A44" t="s">
        <v>36</v>
      </c>
      <c r="B44" t="s">
        <v>13</v>
      </c>
      <c r="C44" t="s">
        <v>14</v>
      </c>
      <c r="D44" t="s">
        <v>52</v>
      </c>
      <c r="E44">
        <v>16</v>
      </c>
      <c r="F44">
        <v>0</v>
      </c>
      <c r="G44">
        <v>16</v>
      </c>
      <c r="H44">
        <v>80000</v>
      </c>
      <c r="I44">
        <v>1200</v>
      </c>
      <c r="J44">
        <v>1080</v>
      </c>
      <c r="K44">
        <v>0</v>
      </c>
      <c r="L44" t="s">
        <v>15</v>
      </c>
    </row>
    <row r="45" spans="1:12" x14ac:dyDescent="0.35">
      <c r="A45" t="s">
        <v>36</v>
      </c>
      <c r="B45" t="s">
        <v>16</v>
      </c>
      <c r="C45" t="s">
        <v>17</v>
      </c>
      <c r="D45" t="s">
        <v>18</v>
      </c>
      <c r="E45">
        <v>16</v>
      </c>
      <c r="F45">
        <v>1</v>
      </c>
      <c r="G45">
        <v>15</v>
      </c>
      <c r="H45">
        <v>48000</v>
      </c>
      <c r="I45">
        <v>1020</v>
      </c>
      <c r="J45">
        <v>918</v>
      </c>
      <c r="K45">
        <v>600</v>
      </c>
      <c r="L45" t="s">
        <v>23</v>
      </c>
    </row>
    <row r="46" spans="1:12" x14ac:dyDescent="0.35">
      <c r="A46" t="s">
        <v>36</v>
      </c>
      <c r="B46" t="s">
        <v>19</v>
      </c>
      <c r="C46" t="s">
        <v>20</v>
      </c>
      <c r="D46" t="s">
        <v>21</v>
      </c>
      <c r="E46">
        <v>16</v>
      </c>
      <c r="F46">
        <v>0</v>
      </c>
      <c r="G46">
        <v>16</v>
      </c>
      <c r="H46">
        <v>33600</v>
      </c>
      <c r="I46">
        <v>1280</v>
      </c>
      <c r="J46">
        <v>1152</v>
      </c>
      <c r="K46">
        <v>0</v>
      </c>
      <c r="L46" t="s">
        <v>15</v>
      </c>
    </row>
    <row r="47" spans="1:12" x14ac:dyDescent="0.35">
      <c r="A47" t="s">
        <v>37</v>
      </c>
      <c r="B47" t="s">
        <v>13</v>
      </c>
      <c r="C47" t="s">
        <v>14</v>
      </c>
      <c r="D47" t="s">
        <v>52</v>
      </c>
      <c r="E47">
        <v>16</v>
      </c>
      <c r="F47">
        <v>0</v>
      </c>
      <c r="G47">
        <v>16</v>
      </c>
      <c r="H47">
        <v>80000</v>
      </c>
      <c r="I47">
        <v>1200</v>
      </c>
      <c r="J47">
        <v>1080</v>
      </c>
      <c r="K47">
        <v>0</v>
      </c>
      <c r="L47" t="s">
        <v>15</v>
      </c>
    </row>
    <row r="48" spans="1:12" x14ac:dyDescent="0.35">
      <c r="A48" t="s">
        <v>37</v>
      </c>
      <c r="B48" t="s">
        <v>16</v>
      </c>
      <c r="C48" t="s">
        <v>17</v>
      </c>
      <c r="D48" t="s">
        <v>18</v>
      </c>
      <c r="E48">
        <v>16</v>
      </c>
      <c r="F48">
        <v>0</v>
      </c>
      <c r="G48">
        <v>16</v>
      </c>
      <c r="H48">
        <v>51200</v>
      </c>
      <c r="I48">
        <v>1088</v>
      </c>
      <c r="J48">
        <v>979.2</v>
      </c>
      <c r="K48">
        <v>0</v>
      </c>
      <c r="L48" t="s">
        <v>15</v>
      </c>
    </row>
    <row r="49" spans="1:12" x14ac:dyDescent="0.35">
      <c r="A49" t="s">
        <v>37</v>
      </c>
      <c r="B49" t="s">
        <v>19</v>
      </c>
      <c r="C49" t="s">
        <v>20</v>
      </c>
      <c r="D49" t="s">
        <v>21</v>
      </c>
      <c r="E49">
        <v>16</v>
      </c>
      <c r="F49">
        <v>0</v>
      </c>
      <c r="G49">
        <v>16</v>
      </c>
      <c r="H49">
        <v>33600</v>
      </c>
      <c r="I49">
        <v>1280</v>
      </c>
      <c r="J49">
        <v>1152</v>
      </c>
      <c r="K49">
        <v>0</v>
      </c>
      <c r="L49" t="s">
        <v>15</v>
      </c>
    </row>
    <row r="50" spans="1:12" x14ac:dyDescent="0.35">
      <c r="A50" t="s">
        <v>38</v>
      </c>
      <c r="B50" t="s">
        <v>13</v>
      </c>
      <c r="C50" t="s">
        <v>14</v>
      </c>
      <c r="D50" t="s">
        <v>52</v>
      </c>
      <c r="E50">
        <v>16</v>
      </c>
      <c r="F50">
        <v>0</v>
      </c>
      <c r="G50">
        <v>16</v>
      </c>
      <c r="H50">
        <v>80000</v>
      </c>
      <c r="I50">
        <v>1200</v>
      </c>
      <c r="J50">
        <v>1080</v>
      </c>
      <c r="K50">
        <v>0</v>
      </c>
      <c r="L50" t="s">
        <v>15</v>
      </c>
    </row>
    <row r="51" spans="1:12" x14ac:dyDescent="0.35">
      <c r="A51" t="s">
        <v>38</v>
      </c>
      <c r="B51" t="s">
        <v>16</v>
      </c>
      <c r="C51" t="s">
        <v>17</v>
      </c>
      <c r="D51" t="s">
        <v>18</v>
      </c>
      <c r="E51">
        <v>16</v>
      </c>
      <c r="F51">
        <v>0</v>
      </c>
      <c r="G51">
        <v>16</v>
      </c>
      <c r="H51">
        <v>51200</v>
      </c>
      <c r="I51">
        <v>1088</v>
      </c>
      <c r="J51">
        <v>979.2</v>
      </c>
      <c r="K51">
        <v>0</v>
      </c>
      <c r="L51" t="s">
        <v>15</v>
      </c>
    </row>
    <row r="52" spans="1:12" x14ac:dyDescent="0.35">
      <c r="A52" t="s">
        <v>38</v>
      </c>
      <c r="B52" t="s">
        <v>19</v>
      </c>
      <c r="C52" t="s">
        <v>20</v>
      </c>
      <c r="D52" t="s">
        <v>21</v>
      </c>
      <c r="E52">
        <v>16</v>
      </c>
      <c r="F52">
        <v>2</v>
      </c>
      <c r="G52">
        <v>14</v>
      </c>
      <c r="H52">
        <v>29400</v>
      </c>
      <c r="I52">
        <v>1120</v>
      </c>
      <c r="J52">
        <v>1008</v>
      </c>
      <c r="K52">
        <v>1200</v>
      </c>
      <c r="L52" t="s">
        <v>23</v>
      </c>
    </row>
    <row r="53" spans="1:12" x14ac:dyDescent="0.35">
      <c r="A53" t="s">
        <v>39</v>
      </c>
      <c r="B53" t="s">
        <v>13</v>
      </c>
      <c r="C53" t="s">
        <v>14</v>
      </c>
      <c r="D53" t="s">
        <v>52</v>
      </c>
      <c r="E53">
        <v>16</v>
      </c>
      <c r="F53">
        <v>2</v>
      </c>
      <c r="G53">
        <v>14</v>
      </c>
      <c r="H53">
        <v>70000</v>
      </c>
      <c r="I53">
        <v>1050</v>
      </c>
      <c r="J53">
        <v>945</v>
      </c>
      <c r="K53">
        <v>1200</v>
      </c>
      <c r="L53" t="s">
        <v>23</v>
      </c>
    </row>
    <row r="54" spans="1:12" x14ac:dyDescent="0.35">
      <c r="A54" t="s">
        <v>39</v>
      </c>
      <c r="B54" t="s">
        <v>16</v>
      </c>
      <c r="C54" t="s">
        <v>17</v>
      </c>
      <c r="D54" t="s">
        <v>18</v>
      </c>
      <c r="E54">
        <v>16</v>
      </c>
      <c r="F54">
        <v>2</v>
      </c>
      <c r="G54">
        <v>14</v>
      </c>
      <c r="H54">
        <v>44800</v>
      </c>
      <c r="I54">
        <v>952</v>
      </c>
      <c r="J54">
        <v>856.8</v>
      </c>
      <c r="K54">
        <v>1200</v>
      </c>
      <c r="L54" t="s">
        <v>23</v>
      </c>
    </row>
    <row r="55" spans="1:12" x14ac:dyDescent="0.35">
      <c r="A55" t="s">
        <v>39</v>
      </c>
      <c r="B55" t="s">
        <v>19</v>
      </c>
      <c r="C55" t="s">
        <v>20</v>
      </c>
      <c r="D55" t="s">
        <v>21</v>
      </c>
      <c r="E55">
        <v>16</v>
      </c>
      <c r="F55">
        <v>0</v>
      </c>
      <c r="G55">
        <v>16</v>
      </c>
      <c r="H55">
        <v>33600</v>
      </c>
      <c r="I55">
        <v>1280</v>
      </c>
      <c r="J55">
        <v>1152</v>
      </c>
      <c r="K55">
        <v>0</v>
      </c>
      <c r="L55" t="s">
        <v>15</v>
      </c>
    </row>
    <row r="56" spans="1:12" x14ac:dyDescent="0.35">
      <c r="A56" t="s">
        <v>40</v>
      </c>
      <c r="B56" t="s">
        <v>13</v>
      </c>
      <c r="C56" t="s">
        <v>14</v>
      </c>
      <c r="D56" t="s">
        <v>52</v>
      </c>
      <c r="E56">
        <v>16</v>
      </c>
      <c r="F56">
        <v>2</v>
      </c>
      <c r="G56">
        <v>14</v>
      </c>
      <c r="H56">
        <v>70000</v>
      </c>
      <c r="I56">
        <v>1050</v>
      </c>
      <c r="J56">
        <v>945</v>
      </c>
      <c r="K56">
        <v>1200</v>
      </c>
      <c r="L56" t="s">
        <v>23</v>
      </c>
    </row>
    <row r="57" spans="1:12" x14ac:dyDescent="0.35">
      <c r="A57" t="s">
        <v>40</v>
      </c>
      <c r="B57" t="s">
        <v>16</v>
      </c>
      <c r="C57" t="s">
        <v>17</v>
      </c>
      <c r="D57" t="s">
        <v>18</v>
      </c>
      <c r="E57">
        <v>16</v>
      </c>
      <c r="F57">
        <v>1</v>
      </c>
      <c r="G57">
        <v>15</v>
      </c>
      <c r="H57">
        <v>48000</v>
      </c>
      <c r="I57">
        <v>1020</v>
      </c>
      <c r="J57">
        <v>918</v>
      </c>
      <c r="K57">
        <v>600</v>
      </c>
      <c r="L57" t="s">
        <v>23</v>
      </c>
    </row>
    <row r="58" spans="1:12" x14ac:dyDescent="0.35">
      <c r="A58" t="s">
        <v>40</v>
      </c>
      <c r="B58" t="s">
        <v>19</v>
      </c>
      <c r="C58" t="s">
        <v>20</v>
      </c>
      <c r="D58" t="s">
        <v>21</v>
      </c>
      <c r="E58">
        <v>16</v>
      </c>
      <c r="F58">
        <v>2</v>
      </c>
      <c r="G58">
        <v>14</v>
      </c>
      <c r="H58">
        <v>29400</v>
      </c>
      <c r="I58">
        <v>1120</v>
      </c>
      <c r="J58">
        <v>1008</v>
      </c>
      <c r="K58">
        <v>1200</v>
      </c>
      <c r="L58" t="s">
        <v>23</v>
      </c>
    </row>
    <row r="59" spans="1:12" x14ac:dyDescent="0.35">
      <c r="A59" t="s">
        <v>41</v>
      </c>
      <c r="B59" t="s">
        <v>13</v>
      </c>
      <c r="C59" t="s">
        <v>14</v>
      </c>
      <c r="D59" t="s">
        <v>52</v>
      </c>
      <c r="E59">
        <v>16</v>
      </c>
      <c r="F59">
        <v>0</v>
      </c>
      <c r="G59">
        <v>16</v>
      </c>
      <c r="H59">
        <v>80000</v>
      </c>
      <c r="I59">
        <v>1200</v>
      </c>
      <c r="J59">
        <v>1080</v>
      </c>
      <c r="K59">
        <v>0</v>
      </c>
      <c r="L59" t="s">
        <v>15</v>
      </c>
    </row>
    <row r="60" spans="1:12" x14ac:dyDescent="0.35">
      <c r="A60" t="s">
        <v>41</v>
      </c>
      <c r="B60" t="s">
        <v>16</v>
      </c>
      <c r="C60" t="s">
        <v>17</v>
      </c>
      <c r="D60" t="s">
        <v>18</v>
      </c>
      <c r="E60">
        <v>16</v>
      </c>
      <c r="F60">
        <v>2</v>
      </c>
      <c r="G60">
        <v>14</v>
      </c>
      <c r="H60">
        <v>44800</v>
      </c>
      <c r="I60">
        <v>952</v>
      </c>
      <c r="J60">
        <v>856.8</v>
      </c>
      <c r="K60">
        <v>1200</v>
      </c>
      <c r="L60" t="s">
        <v>23</v>
      </c>
    </row>
    <row r="61" spans="1:12" x14ac:dyDescent="0.35">
      <c r="A61" t="s">
        <v>41</v>
      </c>
      <c r="B61" t="s">
        <v>19</v>
      </c>
      <c r="C61" t="s">
        <v>20</v>
      </c>
      <c r="D61" t="s">
        <v>21</v>
      </c>
      <c r="E61">
        <v>16</v>
      </c>
      <c r="F61">
        <v>0</v>
      </c>
      <c r="G61">
        <v>16</v>
      </c>
      <c r="H61">
        <v>33600</v>
      </c>
      <c r="I61">
        <v>1280</v>
      </c>
      <c r="J61">
        <v>1152</v>
      </c>
      <c r="K61">
        <v>0</v>
      </c>
      <c r="L61" t="s">
        <v>15</v>
      </c>
    </row>
    <row r="62" spans="1:12" x14ac:dyDescent="0.35">
      <c r="A62" t="s">
        <v>42</v>
      </c>
      <c r="B62" t="s">
        <v>13</v>
      </c>
      <c r="C62" t="s">
        <v>14</v>
      </c>
      <c r="D62" t="s">
        <v>52</v>
      </c>
      <c r="E62">
        <v>16</v>
      </c>
      <c r="F62">
        <v>0</v>
      </c>
      <c r="G62">
        <v>16</v>
      </c>
      <c r="H62">
        <v>80000</v>
      </c>
      <c r="I62">
        <v>1200</v>
      </c>
      <c r="J62">
        <v>1080</v>
      </c>
      <c r="K62">
        <v>0</v>
      </c>
      <c r="L62" t="s">
        <v>15</v>
      </c>
    </row>
    <row r="63" spans="1:12" x14ac:dyDescent="0.35">
      <c r="A63" t="s">
        <v>42</v>
      </c>
      <c r="B63" t="s">
        <v>16</v>
      </c>
      <c r="C63" t="s">
        <v>17</v>
      </c>
      <c r="D63" t="s">
        <v>18</v>
      </c>
      <c r="E63">
        <v>16</v>
      </c>
      <c r="F63">
        <v>0</v>
      </c>
      <c r="G63">
        <v>16</v>
      </c>
      <c r="H63">
        <v>51200</v>
      </c>
      <c r="I63">
        <v>1088</v>
      </c>
      <c r="J63">
        <v>979.2</v>
      </c>
      <c r="K63">
        <v>0</v>
      </c>
      <c r="L63" t="s">
        <v>15</v>
      </c>
    </row>
    <row r="64" spans="1:12" x14ac:dyDescent="0.35">
      <c r="A64" t="s">
        <v>42</v>
      </c>
      <c r="B64" t="s">
        <v>19</v>
      </c>
      <c r="C64" t="s">
        <v>20</v>
      </c>
      <c r="D64" t="s">
        <v>21</v>
      </c>
      <c r="E64">
        <v>16</v>
      </c>
      <c r="F64">
        <v>0</v>
      </c>
      <c r="G64">
        <v>16</v>
      </c>
      <c r="H64">
        <v>33600</v>
      </c>
      <c r="I64">
        <v>1280</v>
      </c>
      <c r="J64">
        <v>1152</v>
      </c>
      <c r="K64">
        <v>0</v>
      </c>
      <c r="L64" t="s">
        <v>15</v>
      </c>
    </row>
    <row r="65" spans="1:12" x14ac:dyDescent="0.35">
      <c r="A65" t="s">
        <v>43</v>
      </c>
      <c r="B65" t="s">
        <v>13</v>
      </c>
      <c r="C65" t="s">
        <v>14</v>
      </c>
      <c r="D65" t="s">
        <v>52</v>
      </c>
      <c r="E65">
        <v>16</v>
      </c>
      <c r="F65">
        <v>0</v>
      </c>
      <c r="G65">
        <v>16</v>
      </c>
      <c r="H65">
        <v>80000</v>
      </c>
      <c r="I65">
        <v>1200</v>
      </c>
      <c r="J65">
        <v>1080</v>
      </c>
      <c r="K65">
        <v>0</v>
      </c>
      <c r="L65" t="s">
        <v>15</v>
      </c>
    </row>
    <row r="66" spans="1:12" x14ac:dyDescent="0.35">
      <c r="A66" t="s">
        <v>43</v>
      </c>
      <c r="B66" t="s">
        <v>16</v>
      </c>
      <c r="C66" t="s">
        <v>17</v>
      </c>
      <c r="D66" t="s">
        <v>18</v>
      </c>
      <c r="E66">
        <v>16</v>
      </c>
      <c r="F66">
        <v>1</v>
      </c>
      <c r="G66">
        <v>15</v>
      </c>
      <c r="H66">
        <v>48000</v>
      </c>
      <c r="I66">
        <v>1020</v>
      </c>
      <c r="J66">
        <v>918</v>
      </c>
      <c r="K66">
        <v>600</v>
      </c>
      <c r="L66" t="s">
        <v>23</v>
      </c>
    </row>
    <row r="67" spans="1:12" x14ac:dyDescent="0.35">
      <c r="A67" t="s">
        <v>43</v>
      </c>
      <c r="B67" t="s">
        <v>19</v>
      </c>
      <c r="C67" t="s">
        <v>20</v>
      </c>
      <c r="D67" t="s">
        <v>21</v>
      </c>
      <c r="E67">
        <v>16</v>
      </c>
      <c r="F67">
        <v>0</v>
      </c>
      <c r="G67">
        <v>16</v>
      </c>
      <c r="H67">
        <v>33600</v>
      </c>
      <c r="I67">
        <v>1280</v>
      </c>
      <c r="J67">
        <v>1152</v>
      </c>
      <c r="K67">
        <v>0</v>
      </c>
      <c r="L67" t="s">
        <v>15</v>
      </c>
    </row>
    <row r="68" spans="1:12" hidden="1" x14ac:dyDescent="0.35">
      <c r="A68" t="s">
        <v>44</v>
      </c>
      <c r="B68" t="s">
        <v>13</v>
      </c>
      <c r="C68" t="s">
        <v>14</v>
      </c>
      <c r="D68" t="s">
        <v>52</v>
      </c>
      <c r="E68">
        <v>16</v>
      </c>
      <c r="F68">
        <v>2</v>
      </c>
      <c r="G68">
        <v>14</v>
      </c>
      <c r="H68">
        <v>70000</v>
      </c>
      <c r="I68">
        <v>1050</v>
      </c>
      <c r="J68">
        <v>945</v>
      </c>
      <c r="K68">
        <v>1200</v>
      </c>
      <c r="L68" t="s">
        <v>23</v>
      </c>
    </row>
    <row r="69" spans="1:12" hidden="1" x14ac:dyDescent="0.35">
      <c r="A69" t="s">
        <v>44</v>
      </c>
      <c r="B69" t="s">
        <v>16</v>
      </c>
      <c r="C69" t="s">
        <v>17</v>
      </c>
      <c r="D69" t="s">
        <v>18</v>
      </c>
      <c r="E69">
        <v>16</v>
      </c>
      <c r="F69">
        <v>0</v>
      </c>
      <c r="G69">
        <v>16</v>
      </c>
      <c r="H69">
        <v>51200</v>
      </c>
      <c r="I69">
        <v>1088</v>
      </c>
      <c r="J69">
        <v>979.2</v>
      </c>
      <c r="K69">
        <v>0</v>
      </c>
      <c r="L69" t="s">
        <v>15</v>
      </c>
    </row>
    <row r="70" spans="1:12" hidden="1" x14ac:dyDescent="0.35">
      <c r="A70" t="s">
        <v>44</v>
      </c>
      <c r="B70" t="s">
        <v>19</v>
      </c>
      <c r="C70" t="s">
        <v>20</v>
      </c>
      <c r="D70" t="s">
        <v>21</v>
      </c>
      <c r="E70">
        <v>16</v>
      </c>
      <c r="F70">
        <v>0</v>
      </c>
      <c r="G70">
        <v>16</v>
      </c>
      <c r="H70">
        <v>33600</v>
      </c>
      <c r="I70">
        <v>1280</v>
      </c>
      <c r="J70">
        <v>1152</v>
      </c>
      <c r="K70">
        <v>0</v>
      </c>
      <c r="L70" t="s">
        <v>15</v>
      </c>
    </row>
    <row r="71" spans="1:12" hidden="1" x14ac:dyDescent="0.35">
      <c r="A71" t="s">
        <v>45</v>
      </c>
      <c r="B71" t="s">
        <v>13</v>
      </c>
      <c r="C71" t="s">
        <v>14</v>
      </c>
      <c r="D71" t="s">
        <v>52</v>
      </c>
      <c r="E71">
        <v>16</v>
      </c>
      <c r="F71">
        <v>0</v>
      </c>
      <c r="G71">
        <v>16</v>
      </c>
      <c r="H71">
        <v>80000</v>
      </c>
      <c r="I71">
        <v>1200</v>
      </c>
      <c r="J71">
        <v>1080</v>
      </c>
      <c r="K71">
        <v>0</v>
      </c>
      <c r="L71" t="s">
        <v>15</v>
      </c>
    </row>
    <row r="72" spans="1:12" hidden="1" x14ac:dyDescent="0.35">
      <c r="A72" t="s">
        <v>45</v>
      </c>
      <c r="B72" t="s">
        <v>16</v>
      </c>
      <c r="C72" t="s">
        <v>17</v>
      </c>
      <c r="D72" t="s">
        <v>18</v>
      </c>
      <c r="E72">
        <v>16</v>
      </c>
      <c r="F72">
        <v>0</v>
      </c>
      <c r="G72">
        <v>16</v>
      </c>
      <c r="H72">
        <v>51200</v>
      </c>
      <c r="I72">
        <v>1088</v>
      </c>
      <c r="J72">
        <v>979.2</v>
      </c>
      <c r="K72">
        <v>0</v>
      </c>
      <c r="L72" t="s">
        <v>15</v>
      </c>
    </row>
    <row r="73" spans="1:12" hidden="1" x14ac:dyDescent="0.35">
      <c r="A73" t="s">
        <v>45</v>
      </c>
      <c r="B73" t="s">
        <v>19</v>
      </c>
      <c r="C73" t="s">
        <v>20</v>
      </c>
      <c r="D73" t="s">
        <v>21</v>
      </c>
      <c r="E73">
        <v>16</v>
      </c>
      <c r="F73">
        <v>2</v>
      </c>
      <c r="G73">
        <v>14</v>
      </c>
      <c r="H73">
        <v>29400</v>
      </c>
      <c r="I73">
        <v>1120</v>
      </c>
      <c r="J73">
        <v>1008</v>
      </c>
      <c r="K73">
        <v>1200</v>
      </c>
      <c r="L73" t="s">
        <v>23</v>
      </c>
    </row>
    <row r="74" spans="1:12" hidden="1" x14ac:dyDescent="0.35">
      <c r="A74" t="s">
        <v>46</v>
      </c>
      <c r="B74" t="s">
        <v>13</v>
      </c>
      <c r="C74" t="s">
        <v>14</v>
      </c>
      <c r="D74" t="s">
        <v>52</v>
      </c>
      <c r="E74">
        <v>16</v>
      </c>
      <c r="F74">
        <v>0</v>
      </c>
      <c r="G74">
        <v>16</v>
      </c>
      <c r="H74">
        <v>80000</v>
      </c>
      <c r="I74">
        <v>1200</v>
      </c>
      <c r="J74">
        <v>1080</v>
      </c>
      <c r="K74">
        <v>0</v>
      </c>
      <c r="L74" t="s">
        <v>15</v>
      </c>
    </row>
    <row r="75" spans="1:12" hidden="1" x14ac:dyDescent="0.35">
      <c r="A75" t="s">
        <v>46</v>
      </c>
      <c r="B75" t="s">
        <v>16</v>
      </c>
      <c r="C75" t="s">
        <v>17</v>
      </c>
      <c r="D75" t="s">
        <v>18</v>
      </c>
      <c r="E75">
        <v>16</v>
      </c>
      <c r="F75">
        <v>1</v>
      </c>
      <c r="G75">
        <v>15</v>
      </c>
      <c r="H75">
        <v>48000</v>
      </c>
      <c r="I75">
        <v>1020</v>
      </c>
      <c r="J75">
        <v>918</v>
      </c>
      <c r="K75">
        <v>600</v>
      </c>
      <c r="L75" t="s">
        <v>23</v>
      </c>
    </row>
    <row r="76" spans="1:12" hidden="1" x14ac:dyDescent="0.35">
      <c r="A76" t="s">
        <v>46</v>
      </c>
      <c r="B76" t="s">
        <v>19</v>
      </c>
      <c r="C76" t="s">
        <v>20</v>
      </c>
      <c r="D76" t="s">
        <v>21</v>
      </c>
      <c r="E76">
        <v>16</v>
      </c>
      <c r="F76">
        <v>2</v>
      </c>
      <c r="G76">
        <v>14</v>
      </c>
      <c r="H76">
        <v>29400</v>
      </c>
      <c r="I76">
        <v>1120</v>
      </c>
      <c r="J76">
        <v>1008</v>
      </c>
      <c r="K76">
        <v>1200</v>
      </c>
      <c r="L76" t="s">
        <v>23</v>
      </c>
    </row>
    <row r="77" spans="1:12" hidden="1" x14ac:dyDescent="0.35">
      <c r="A77" t="s">
        <v>47</v>
      </c>
      <c r="B77" t="s">
        <v>13</v>
      </c>
      <c r="C77" t="s">
        <v>14</v>
      </c>
      <c r="D77" t="s">
        <v>52</v>
      </c>
      <c r="E77">
        <v>16</v>
      </c>
      <c r="F77">
        <v>0</v>
      </c>
      <c r="G77">
        <v>16</v>
      </c>
      <c r="H77">
        <v>80000</v>
      </c>
      <c r="I77">
        <v>1200</v>
      </c>
      <c r="J77">
        <v>1080</v>
      </c>
      <c r="K77">
        <v>0</v>
      </c>
      <c r="L77" t="s">
        <v>15</v>
      </c>
    </row>
    <row r="78" spans="1:12" hidden="1" x14ac:dyDescent="0.35">
      <c r="A78" t="s">
        <v>47</v>
      </c>
      <c r="B78" t="s">
        <v>16</v>
      </c>
      <c r="C78" t="s">
        <v>17</v>
      </c>
      <c r="D78" t="s">
        <v>18</v>
      </c>
      <c r="E78">
        <v>16</v>
      </c>
      <c r="F78">
        <v>0</v>
      </c>
      <c r="G78">
        <v>16</v>
      </c>
      <c r="H78">
        <v>51200</v>
      </c>
      <c r="I78">
        <v>1088</v>
      </c>
      <c r="J78">
        <v>979.2</v>
      </c>
      <c r="K78">
        <v>0</v>
      </c>
      <c r="L78" t="s">
        <v>15</v>
      </c>
    </row>
    <row r="79" spans="1:12" hidden="1" x14ac:dyDescent="0.35">
      <c r="A79" t="s">
        <v>47</v>
      </c>
      <c r="B79" t="s">
        <v>19</v>
      </c>
      <c r="C79" t="s">
        <v>20</v>
      </c>
      <c r="D79" t="s">
        <v>21</v>
      </c>
      <c r="E79">
        <v>16</v>
      </c>
      <c r="F79">
        <v>2</v>
      </c>
      <c r="G79">
        <v>14</v>
      </c>
      <c r="H79">
        <v>29400</v>
      </c>
      <c r="I79">
        <v>1120</v>
      </c>
      <c r="J79">
        <v>1008</v>
      </c>
      <c r="K79">
        <v>1200</v>
      </c>
      <c r="L79" t="s">
        <v>23</v>
      </c>
    </row>
    <row r="80" spans="1:12" hidden="1" x14ac:dyDescent="0.35">
      <c r="A80" t="s">
        <v>48</v>
      </c>
      <c r="B80" t="s">
        <v>13</v>
      </c>
      <c r="C80" t="s">
        <v>14</v>
      </c>
      <c r="D80" t="s">
        <v>52</v>
      </c>
      <c r="E80">
        <v>16</v>
      </c>
      <c r="F80">
        <v>0</v>
      </c>
      <c r="G80">
        <v>16</v>
      </c>
      <c r="H80">
        <v>80000</v>
      </c>
      <c r="I80">
        <v>1200</v>
      </c>
      <c r="J80">
        <v>1080</v>
      </c>
      <c r="K80">
        <v>0</v>
      </c>
      <c r="L80" t="s">
        <v>15</v>
      </c>
    </row>
    <row r="81" spans="1:12" hidden="1" x14ac:dyDescent="0.35">
      <c r="A81" t="s">
        <v>48</v>
      </c>
      <c r="B81" t="s">
        <v>16</v>
      </c>
      <c r="C81" t="s">
        <v>17</v>
      </c>
      <c r="D81" t="s">
        <v>18</v>
      </c>
      <c r="E81">
        <v>16</v>
      </c>
      <c r="F81">
        <v>0</v>
      </c>
      <c r="G81">
        <v>16</v>
      </c>
      <c r="H81">
        <v>51200</v>
      </c>
      <c r="I81">
        <v>1088</v>
      </c>
      <c r="J81">
        <v>979.2</v>
      </c>
      <c r="K81">
        <v>0</v>
      </c>
      <c r="L81" t="s">
        <v>15</v>
      </c>
    </row>
    <row r="82" spans="1:12" hidden="1" x14ac:dyDescent="0.35">
      <c r="A82" t="s">
        <v>48</v>
      </c>
      <c r="B82" t="s">
        <v>19</v>
      </c>
      <c r="C82" t="s">
        <v>20</v>
      </c>
      <c r="D82" t="s">
        <v>21</v>
      </c>
      <c r="E82">
        <v>16</v>
      </c>
      <c r="F82">
        <v>1</v>
      </c>
      <c r="G82">
        <v>15</v>
      </c>
      <c r="H82">
        <v>31500</v>
      </c>
      <c r="I82">
        <v>1200</v>
      </c>
      <c r="J82">
        <v>1080</v>
      </c>
      <c r="K82">
        <v>600</v>
      </c>
      <c r="L82" t="s">
        <v>23</v>
      </c>
    </row>
    <row r="83" spans="1:12" hidden="1" x14ac:dyDescent="0.35">
      <c r="A83" t="s">
        <v>49</v>
      </c>
      <c r="B83" t="s">
        <v>13</v>
      </c>
      <c r="C83" t="s">
        <v>14</v>
      </c>
      <c r="D83" t="s">
        <v>52</v>
      </c>
      <c r="E83">
        <v>16</v>
      </c>
      <c r="F83">
        <v>2</v>
      </c>
      <c r="G83">
        <v>14</v>
      </c>
      <c r="H83">
        <v>70000</v>
      </c>
      <c r="I83">
        <v>1050</v>
      </c>
      <c r="J83">
        <v>945</v>
      </c>
      <c r="K83">
        <v>1200</v>
      </c>
      <c r="L83" t="s">
        <v>23</v>
      </c>
    </row>
    <row r="84" spans="1:12" hidden="1" x14ac:dyDescent="0.35">
      <c r="A84" t="s">
        <v>49</v>
      </c>
      <c r="B84" t="s">
        <v>16</v>
      </c>
      <c r="C84" t="s">
        <v>17</v>
      </c>
      <c r="D84" t="s">
        <v>18</v>
      </c>
      <c r="E84">
        <v>16</v>
      </c>
      <c r="F84">
        <v>0</v>
      </c>
      <c r="G84">
        <v>16</v>
      </c>
      <c r="H84">
        <v>51200</v>
      </c>
      <c r="I84">
        <v>1088</v>
      </c>
      <c r="J84">
        <v>979.2</v>
      </c>
      <c r="K84">
        <v>0</v>
      </c>
      <c r="L84" t="s">
        <v>15</v>
      </c>
    </row>
    <row r="85" spans="1:12" hidden="1" x14ac:dyDescent="0.35">
      <c r="A85" t="s">
        <v>49</v>
      </c>
      <c r="B85" t="s">
        <v>19</v>
      </c>
      <c r="C85" t="s">
        <v>20</v>
      </c>
      <c r="D85" t="s">
        <v>21</v>
      </c>
      <c r="E85">
        <v>16</v>
      </c>
      <c r="F85">
        <v>1</v>
      </c>
      <c r="G85">
        <v>15</v>
      </c>
      <c r="H85">
        <v>31500</v>
      </c>
      <c r="I85">
        <v>1200</v>
      </c>
      <c r="J85">
        <v>1080</v>
      </c>
      <c r="K85">
        <v>600</v>
      </c>
      <c r="L85" t="s">
        <v>23</v>
      </c>
    </row>
    <row r="86" spans="1:12" hidden="1" x14ac:dyDescent="0.35">
      <c r="A86" t="s">
        <v>50</v>
      </c>
      <c r="B86" t="s">
        <v>13</v>
      </c>
      <c r="C86" t="s">
        <v>14</v>
      </c>
      <c r="D86" t="s">
        <v>52</v>
      </c>
      <c r="E86">
        <v>16</v>
      </c>
      <c r="F86">
        <v>0</v>
      </c>
      <c r="G86">
        <v>16</v>
      </c>
      <c r="H86">
        <v>80000</v>
      </c>
      <c r="I86">
        <v>1200</v>
      </c>
      <c r="J86">
        <v>1080</v>
      </c>
      <c r="K86">
        <v>0</v>
      </c>
      <c r="L86" t="s">
        <v>15</v>
      </c>
    </row>
    <row r="87" spans="1:12" hidden="1" x14ac:dyDescent="0.35">
      <c r="A87" t="s">
        <v>50</v>
      </c>
      <c r="B87" t="s">
        <v>16</v>
      </c>
      <c r="C87" t="s">
        <v>17</v>
      </c>
      <c r="D87" t="s">
        <v>18</v>
      </c>
      <c r="E87">
        <v>16</v>
      </c>
      <c r="F87">
        <v>0</v>
      </c>
      <c r="G87">
        <v>16</v>
      </c>
      <c r="H87">
        <v>51200</v>
      </c>
      <c r="I87">
        <v>1088</v>
      </c>
      <c r="J87">
        <v>979.2</v>
      </c>
      <c r="K87">
        <v>0</v>
      </c>
      <c r="L87" t="s">
        <v>15</v>
      </c>
    </row>
    <row r="88" spans="1:12" hidden="1" x14ac:dyDescent="0.35">
      <c r="A88" t="s">
        <v>50</v>
      </c>
      <c r="B88" t="s">
        <v>19</v>
      </c>
      <c r="C88" t="s">
        <v>20</v>
      </c>
      <c r="D88" t="s">
        <v>21</v>
      </c>
      <c r="E88">
        <v>16</v>
      </c>
      <c r="F88">
        <v>1</v>
      </c>
      <c r="G88">
        <v>15</v>
      </c>
      <c r="H88">
        <v>31500</v>
      </c>
      <c r="I88">
        <v>1200</v>
      </c>
      <c r="J88">
        <v>1080</v>
      </c>
      <c r="K88">
        <v>600</v>
      </c>
      <c r="L88" t="s">
        <v>23</v>
      </c>
    </row>
    <row r="89" spans="1:12" hidden="1" x14ac:dyDescent="0.35">
      <c r="A89" t="s">
        <v>51</v>
      </c>
      <c r="B89" t="s">
        <v>13</v>
      </c>
      <c r="C89" t="s">
        <v>14</v>
      </c>
      <c r="D89" t="s">
        <v>52</v>
      </c>
      <c r="E89">
        <v>16</v>
      </c>
      <c r="F89">
        <v>0</v>
      </c>
      <c r="G89">
        <v>16</v>
      </c>
      <c r="H89">
        <v>80000</v>
      </c>
      <c r="I89">
        <v>1200</v>
      </c>
      <c r="J89">
        <v>1080</v>
      </c>
      <c r="K89">
        <v>0</v>
      </c>
      <c r="L89" t="s">
        <v>15</v>
      </c>
    </row>
    <row r="90" spans="1:12" hidden="1" x14ac:dyDescent="0.35">
      <c r="A90" t="s">
        <v>51</v>
      </c>
      <c r="B90" t="s">
        <v>16</v>
      </c>
      <c r="C90" t="s">
        <v>17</v>
      </c>
      <c r="D90" t="s">
        <v>18</v>
      </c>
      <c r="E90">
        <v>16</v>
      </c>
      <c r="F90">
        <v>1</v>
      </c>
      <c r="G90">
        <v>15</v>
      </c>
      <c r="H90">
        <v>48000</v>
      </c>
      <c r="I90">
        <v>1020</v>
      </c>
      <c r="J90">
        <v>918</v>
      </c>
      <c r="K90">
        <v>600</v>
      </c>
      <c r="L90" t="s">
        <v>23</v>
      </c>
    </row>
    <row r="91" spans="1:12" hidden="1" x14ac:dyDescent="0.35">
      <c r="A91" t="s">
        <v>51</v>
      </c>
      <c r="B91" t="s">
        <v>19</v>
      </c>
      <c r="C91" t="s">
        <v>20</v>
      </c>
      <c r="D91" t="s">
        <v>21</v>
      </c>
      <c r="E91">
        <v>16</v>
      </c>
      <c r="F91">
        <v>0</v>
      </c>
      <c r="G91">
        <v>16</v>
      </c>
      <c r="H91">
        <v>33600</v>
      </c>
      <c r="I91">
        <v>1280</v>
      </c>
      <c r="J91">
        <v>1152</v>
      </c>
      <c r="K91">
        <v>0</v>
      </c>
      <c r="L91" t="s">
        <v>15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Produkcja miesięczna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2026-02-03T17:55:52Z</dcterms:created>
  <dcterms:modified xsi:type="dcterms:W3CDTF">2026-02-05T16:22:58Z</dcterms:modified>
</cp:coreProperties>
</file>